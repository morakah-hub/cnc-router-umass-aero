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khmh\Downloads\"/>
    </mc:Choice>
  </mc:AlternateContent>
  <xr:revisionPtr revIDLastSave="0" documentId="13_ncr:1_{D944C8C4-CBCB-4515-9D65-BCDB5287E18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UMMARY" sheetId="1" r:id="rId1"/>
    <sheet name="BOM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2" l="1"/>
  <c r="G42" i="2"/>
  <c r="G41" i="2"/>
  <c r="G39" i="2"/>
  <c r="G38" i="2"/>
  <c r="G37" i="2"/>
  <c r="G36" i="2"/>
  <c r="G34" i="2"/>
  <c r="G33" i="2"/>
  <c r="G32" i="2"/>
  <c r="G31" i="2"/>
  <c r="G30" i="2"/>
  <c r="G29" i="2"/>
  <c r="G28" i="2"/>
  <c r="G27" i="2"/>
  <c r="G26" i="2"/>
  <c r="G25" i="2"/>
  <c r="G23" i="2"/>
  <c r="G21" i="2"/>
  <c r="G20" i="2"/>
  <c r="G19" i="2"/>
  <c r="G17" i="2"/>
  <c r="G16" i="2"/>
  <c r="G15" i="2"/>
  <c r="G45" i="2" s="1"/>
  <c r="G14" i="2"/>
  <c r="G13" i="2"/>
  <c r="G12" i="2"/>
  <c r="G11" i="2"/>
  <c r="G9" i="2"/>
  <c r="G8" i="2"/>
  <c r="G7" i="2"/>
  <c r="G6" i="2"/>
  <c r="B25" i="1"/>
  <c r="B23" i="1"/>
  <c r="B22" i="1"/>
  <c r="B21" i="1"/>
  <c r="B20" i="1"/>
  <c r="B18" i="1"/>
  <c r="G47" i="2" l="1"/>
  <c r="B26" i="1" s="1"/>
  <c r="B24" i="1"/>
  <c r="B29" i="1" s="1"/>
  <c r="B19" i="1"/>
  <c r="G48" i="2" l="1"/>
  <c r="B28" i="1" s="1"/>
</calcChain>
</file>

<file path=xl/sharedStrings.xml><?xml version="1.0" encoding="utf-8"?>
<sst xmlns="http://schemas.openxmlformats.org/spreadsheetml/2006/main" count="285" uniqueCount="220">
  <si>
    <t>CNC Router for Carbon Fiber Cutting — Cost Summary</t>
  </si>
  <si>
    <t>UMass Aeronautics · Rev 4, Aug 2026 · rescoped 400x400 · nothing ordered</t>
  </si>
  <si>
    <t>MACHINE</t>
  </si>
  <si>
    <t>3-axis CNC router (GT2 belt on X/Y, lead screw on Z), 400 x 400 mm cutting area, 100 mm Z travel. 2040 V-slot dual-beam gantry (frame envelope 650x700mm PROVISIONAL, CAD to verify), box frame, no legs (floor/bench use). GT2 belts + V-wheels on X/Y, self-locking lead screw + TWO MGN12 rails / FOUR MGN12H blocks on Z. Makita RT0701CR spindle. GRBL on Arduino.</t>
  </si>
  <si>
    <t>Cuts nested ribs and brackets from carbon fiber sheet 1-5 mm, plus plywood, foam, acrylic. Accuracy target +/-0.5 mm. Dual gantry beams carry cutting torque in bending rather than twisting a single open-section extrusion. Electronics run positive-pressure filtered rather than sealed, since DRV8825s need airflow.</t>
  </si>
  <si>
    <t>Cutting area 500x500 -&gt; 400x400: smaller plates, shorter extrusion/belt runs, stiffer machine, lower cost.</t>
  </si>
  <si>
    <t>Z travel 127mm -&gt; 100mm TARGET on a nominal 250mm rail: shorter standoff, less torsion. Travel is a target, not a proven result.</t>
  </si>
  <si>
    <t>Gantry beam: confirmed dual 2040 (not single) — required to keep tool-tip deflection inside the +/-0.5mm accuracy budget at 100mm Z standoff.</t>
  </si>
  <si>
    <t>Plate count corrected 3 -&gt; 4 functional plates (added separate moving Z plate). Plate stock and dust extraction pending Sean.</t>
  </si>
  <si>
    <t>COST BY SUBSYSTEM</t>
  </si>
  <si>
    <t>Frame (extrusion, brackets, fasteners; plate stock pending Sean)</t>
  </si>
  <si>
    <t>X/Y motion (wheels, spacers, belt, pulleys, idlers)</t>
  </si>
  <si>
    <t>Z axis (lead screw, coupler, radial bearing, 2x MGN12 rail + 4 blocks)</t>
  </si>
  <si>
    <t>Motors &amp; electronics (steppers, driver kit, PSU, E-stop + contactor, printed enclosure, single drag chain + wire loom)</t>
  </si>
  <si>
    <t>Spindle &amp; tooling (Makita renewed, printed mount, collet reducer, end mills)</t>
  </si>
  <si>
    <t>Workholding &amp; dust (spoilboard, brush strip; vacuum/cyclone pending Sean)</t>
  </si>
  <si>
    <t>Parts subtotal</t>
  </si>
  <si>
    <t>Shipping allowance (multi-vendor)</t>
  </si>
  <si>
    <t>Contingency 10% (folded into total, not hidden)</t>
  </si>
  <si>
    <t>TOTAL (all-in, includes contingency)</t>
  </si>
  <si>
    <t>Current costed items plus shipping, excluding contingency and unresolved items.</t>
  </si>
  <si>
    <t>PENDING SEAN — not costed above, confirm before ordering</t>
  </si>
  <si>
    <t>Shop vacuum + cyclone separator for CF dust extraction</t>
  </si>
  <si>
    <t>Mill session for the four-plate set — plate CAD must be verified before machining.</t>
  </si>
  <si>
    <t>Lead-screw axial retention / thrust support — unresolved, no collar, thrust bearing or BK/BF block selected; confirm design before ordering Z-axis hardware.</t>
  </si>
  <si>
    <t>MGN12 rail + block kit price — unverified against a live listing. Quantity confirmed at 2 kits (2 rails + 4 blocks); price is an estimate pending confirmation.</t>
  </si>
  <si>
    <t>Prices captured 7/18/2026 where verified; new/changed lines below are current estimates pending a live-listing check. Present total as planning price +/-10%.</t>
  </si>
  <si>
    <t>CNC Router BOM — UMass Aeronautics — Rev 4, four-plate architecture, FOR TEAM REVIEW</t>
  </si>
  <si>
    <t>GREEN = verified live listing (7/18). BLUE = estimate, confirm before ordering. STATUS tags: [FROZEN] architecture settled · [PROV] provisional, CAD must verify · [PENDING] unresolved, do not order.</t>
  </si>
  <si>
    <t>#</t>
  </si>
  <si>
    <t>Part</t>
  </si>
  <si>
    <t>Where to buy</t>
  </si>
  <si>
    <t>Alternative</t>
  </si>
  <si>
    <t>Price ($)</t>
  </si>
  <si>
    <t>Qty</t>
  </si>
  <si>
    <t>Line total ($)</t>
  </si>
  <si>
    <t>Price basis</t>
  </si>
  <si>
    <t>Notes</t>
  </si>
  <si>
    <t>Source</t>
  </si>
  <si>
    <t>FRAME</t>
  </si>
  <si>
    <t>2040 V-slot extrusion, generic (brackets/T-nuts bundled)</t>
  </si>
  <si>
    <t>amazon.com/dp/B0DY7GHY45 — Seekliny 4x1500mm 4-pack $95.99</t>
  </si>
  <si>
    <t>OpenBuilds genuine via us.openbuilds.com if straightness QC fails twice</t>
  </si>
  <si>
    <t>1 pack (6m for 5.14m demand)</t>
  </si>
  <si>
    <t>VERIFIED 7/18, qty recut</t>
  </si>
  <si>
    <t>One pack now covers full cut list with ~0.9m spare — down from 2 packs at 500x500</t>
  </si>
  <si>
    <t>[PROV] Cut list from frame envelope 650x700mm, which is an ESTIMATE not a geometrically proven dimension. Cut list: 2x650 gantry beams, 2x700 Y rails, 2x610 cross members, 2x610 stringers = 5.14m. Re-cut list after CAD confirms frame envelope.</t>
  </si>
  <si>
    <t>Corner brackets + gussets 20-series, M5</t>
  </si>
  <si>
    <t>amazon.com/dp/B0F1B85397 — TOCLUX 20 sets w/ M5 T-nuts, $14.99</t>
  </si>
  <si>
    <t>extrusion packs bundle more brackets</t>
  </si>
  <si>
    <t>1 kit</t>
  </si>
  <si>
    <t>VERIFIED 7/18</t>
  </si>
  <si>
    <t>Unaffected by scope change</t>
  </si>
  <si>
    <t>Carried from rev2</t>
  </si>
  <si>
    <t>Fastener lot: M5 drop-in T-nuts, M5 bolt kit, M5 nylocks, M3 kit</t>
  </si>
  <si>
    <t>Amazon: 'M5 drop-in t nut 2020' + 'M5 socket head assortment' + 'M3 assortment'</t>
  </si>
  <si>
    <t>McMaster (pricier, faster)</t>
  </si>
  <si>
    <t>1 lot</t>
  </si>
  <si>
    <t>est. (review)</t>
  </si>
  <si>
    <t>Real count comes off plate hole tables once plates are drawn from datasheets</t>
  </si>
  <si>
    <t>Pending plate CAD</t>
  </si>
  <si>
    <t>Aluminum plate, 6mm — FOUR functional plates (see note)</t>
  </si>
  <si>
    <t>Pending Sean — makerspace stock</t>
  </si>
  <si>
    <t>McMaster/onlinemetals if stock falls through</t>
  </si>
  <si>
    <t>4 plates</t>
  </si>
  <si>
    <t>PENDING SEAN + [PROV] envelopes</t>
  </si>
  <si>
    <t>FOUR functional plates, not three: (1) Left Y gantry plate ~180x240, (2) Right Y gantry plate ~180x240, (3) Fixed X carriage / Z backplate ~200x220, (4) Moving Z plate ~130-160 x 220-240. All envelopes [PROV], for stock planning only, NOT machining dimensions. STOCK: a single 305x610 blank is NOT a safe assumption for all four plates. Compare (A) one ~305x915 blank, or (B) one 305x610 blank plus a separate ~160x250 blank for the moving Z plate. Nesting efficiency not calculated — must account for edge margin, cutter diameter, clamping area, tabs/workholding, profile clearance, and internal features machined before external profiles. Mohamed must confirm available plate stock, usable workholding area, cutter clearance and the fourth-plate plan with Sean before ordering.</t>
  </si>
  <si>
    <t>Canonical architecture: four frozen functional plate roles</t>
  </si>
  <si>
    <t>X / Y MOTION</t>
  </si>
  <si>
    <t>POM dual-V wheels w/ 625zz bearings, 13-pack</t>
  </si>
  <si>
    <t>amazon.com/dp/B08B4JDB67 — SIMAX3D 13pcs $9.99</t>
  </si>
  <si>
    <t>OpenBuilds genuine (~$3.50 ea) if commodity wheels disappoint</t>
  </si>
  <si>
    <t>2 packs, 26 wheels (12 assumed + spares)</t>
  </si>
  <si>
    <t>VERIFIED 7/18 price; qty [PROV]</t>
  </si>
  <si>
    <t>[PROV] 12 wheels ASSUMED (4 per Y gantry plate x2, 4 on X carriage). Final wheel count, arrangement, preload and eccentric placement must be verified in CAD against the dual-2040 gantry. CHECK BEFORE ORDERING: SIMAX3D listings disagree on bore, 5mm vs 6mm. 625zz standard bore is 5mm — measure the actual wheel with calipers before sizing the axle hole.</t>
  </si>
  <si>
    <t>[PROV] assumed 4/Y plate x2 + 4/X carriage = 12; CAD to verify</t>
  </si>
  <si>
    <t>Eccentric spacers 6mm</t>
  </si>
  <si>
    <t>us.openbuilds.com 'Eccentric Spacer 6mm'</t>
  </si>
  <si>
    <t>Amazon '6mm eccentric spacer openbuilds' 10-pk</t>
  </si>
  <si>
    <t>6</t>
  </si>
  <si>
    <t>One per wheel pair, half of 12</t>
  </si>
  <si>
    <t>Topology: 6 of 12 wheel positions</t>
  </si>
  <si>
    <t>Aluminum spacers 6mm (concentric)</t>
  </si>
  <si>
    <t>us.openbuilds.com 'Aluminum Spacer 6mm'</t>
  </si>
  <si>
    <t>Amazon assortment</t>
  </si>
  <si>
    <t>Other half of wheel pairs</t>
  </si>
  <si>
    <t>GT2 open belt, 10mm wide, fiberglass core, 5m</t>
  </si>
  <si>
    <t>amazon.com/dp/B0F32PYF3W — $16.99</t>
  </si>
  <si>
    <t>MOTOU 5m $19.99</t>
  </si>
  <si>
    <t>5m spool (2.3m demand)</t>
  </si>
  <si>
    <t>3 belt runs, ~720mm X + 2x770mm Y</t>
  </si>
  <si>
    <t>Belt topology diagram</t>
  </si>
  <si>
    <t>GT2 pulleys 20T, 10mm belt, 5mm bore, 5-pack</t>
  </si>
  <si>
    <t>amazon.com/dp/B07BT6N12L — WINSINN $7.99</t>
  </si>
  <si>
    <t>-</t>
  </si>
  <si>
    <t>3 (pack of 5)</t>
  </si>
  <si>
    <t>VERIFIED 7/18, qty from topology</t>
  </si>
  <si>
    <t>One pulley per belt run, confirmed by diagram</t>
  </si>
  <si>
    <t>Belt topology: 1 per run x 3 runs</t>
  </si>
  <si>
    <t>Smooth idlers, 10mm belt, M5 bore, 5-pack</t>
  </si>
  <si>
    <t>amazon.com/dp/B07BPHRSN5 — WINSINN, 2 packs $19.98</t>
  </si>
  <si>
    <t>6 (2 packs of 5)</t>
  </si>
  <si>
    <t>Two idlers per belt run, confirmed by diagram — matches rev2's number, now traceable</t>
  </si>
  <si>
    <t>Belt topology: 2 per run x 3 runs</t>
  </si>
  <si>
    <t>10b</t>
  </si>
  <si>
    <t>Belt clamps / anchor blocks</t>
  </si>
  <si>
    <t>3D printed PETG (club filament) — or Amazon 'GT2 belt clamp 10mm' if printed creep</t>
  </si>
  <si>
    <t>Aluminium GT2 clamp blocks ~$9/10pk</t>
  </si>
  <si>
    <t>printed, $0</t>
  </si>
  <si>
    <t>Belt is clamped to the stationary rail at BOTH ends of every run. CAUTION: printed PETG clamps creep under sustained belt tension — budget periodic re-tensioning, or switch to metal if tension drifts.</t>
  </si>
  <si>
    <t>Belt topology: 2 clamps per run x 3 runs</t>
  </si>
  <si>
    <t>Z AXIS</t>
  </si>
  <si>
    <t>T8x2 lead screw 300mm + anti-backlash nut, cut to 250mm</t>
  </si>
  <si>
    <t>amazon.com/dp/B07R38L317 — ReliaBot 300mm $8.99</t>
  </si>
  <si>
    <t>check anti-backlash variant at checkout</t>
  </si>
  <si>
    <t>1</t>
  </si>
  <si>
    <t>VERIFIED 7/18 price; length [PROV]</t>
  </si>
  <si>
    <t>[PROV] 250mm is NOMINAL. Final cut length must be derived in CAD from block length, block spacing, usable 100mm travel, rail-end margins, nut length, coupler clearance and bottom-support clearance. Buy 300mm, cut to length. Do not cut inside the nut travel zone.</t>
  </si>
  <si>
    <t>[PROV] nominal; 100mm Z travel is a TARGET, not a proven result</t>
  </si>
  <si>
    <t>Flexible coupler 5x8mm</t>
  </si>
  <si>
    <t>Amazon: '5mm 8mm flexible coupling'</t>
  </si>
  <si>
    <t>often bundled w/ screw — check first</t>
  </si>
  <si>
    <t>608-2RS bearing — screw bottom RADIAL support only</t>
  </si>
  <si>
    <t>printer spares / Amazon 10-pk</t>
  </si>
  <si>
    <t>[FROZEN] Provides radial support only. It does NOT locate the screw axially. See the axial-retention line immediately below, which is unresolved.</t>
  </si>
  <si>
    <t>Canonical architecture: bottom bearing = radial support only</t>
  </si>
  <si>
    <t>13b</t>
  </si>
  <si>
    <t>Lead-screw axial retention / thrust support — UNRESOLVED</t>
  </si>
  <si>
    <t>PENDING — do not order</t>
  </si>
  <si>
    <t>PENDING</t>
  </si>
  <si>
    <t>[PENDING] no solution selected</t>
  </si>
  <si>
    <t>The 608 gives radial support only; nothing in this BOM currently locates the screw axially. Arrangement is UNRESOLVED — no collar, thrust bearing or BK/BF block has been selected, and none should be assumed. Also pending: exact Z motor-mount design, exact bottom-bearing bracket design, and whether those brackets are integral, separately machined, printed or purchased. Carries $0 because no part is chosen, NOT because it is free.</t>
  </si>
  <si>
    <t>Canonical architecture: axial retention explicitly pending</t>
  </si>
  <si>
    <t>MGN12 rail + 2 blocks, 250mm nominal — TWO KITS (2 rails, 4 blocks total)</t>
  </si>
  <si>
    <t>Amazon: 'MGN12H 250mm 2 blocks' — order QTY 2 of this listing</t>
  </si>
  <si>
    <t>2 kits = 2 rails + 4 blocks</t>
  </si>
  <si>
    <t>[PROV] price unverified, qty corrected</t>
  </si>
  <si>
    <t>QTY CORRECTED: canonical Z architecture uses TWO parallel MGN12 rails fixed to the X carriage / Z backplate, and FOUR MGN12H blocks fixed to the moving Z plate. The prior line specified one rail and two blocks, which does not match the architecture and does not match what Sheet 2 already draws. The cited listing supplies 1 rail + 2 blocks per unit, so two units are required. PRICE PENDING: $27 was already an unverified estimate for one kit; two kits are shown at 2 x that estimate. Confirm against a live listing before ordering. [PROV] 250mm length is nominal — see lead-screw note.</t>
  </si>
  <si>
    <t>Canonical architecture: 2 rails fixed to backplate, 4 blocks on moving Z plate</t>
  </si>
  <si>
    <t>MOTORS &amp; ELECTRONICS</t>
  </si>
  <si>
    <t>NEMA 17, 45 Ncm, 1.5A — 5-pack</t>
  </si>
  <si>
    <t>stepperonline.com SKU 5-17HS15-1504S-X1</t>
  </si>
  <si>
    <t>singles 17HS15-1504S1 @ $9.13</t>
  </si>
  <si>
    <t>1 (4 + 1 spare)</t>
  </si>
  <si>
    <t>VERIFIED 7/16</t>
  </si>
  <si>
    <t>[FROZEN] 4 motors: 1 X (mounted ON the moving X carriage), 2 Y (one per moving Y gantry plate), 1 Z. Fifth motor is a spare. All four are the same non-geared part — there is no geared/non-geared distinction in this design.</t>
  </si>
  <si>
    <t>Canonical architecture: X on carriage, Y x2 on gantry plates, Z x1</t>
  </si>
  <si>
    <t>CNC Shield V3 kit + DRV8825 5-pack</t>
  </si>
  <si>
    <t>amazon.com/dp/B07TT3C3HB $9.99 + amazon.com/dp/B0B3884KGS $9.99</t>
  </si>
  <si>
    <t>A4988s from kit kept as spares</t>
  </si>
  <si>
    <t>Set driver current-limit to ~1.0-1.2A, not 1.5A — sealed-box airflow is limited even printed and vented</t>
  </si>
  <si>
    <t>EMI package: ground strap + ferrite chokes + shielded switch cable + fan</t>
  </si>
  <si>
    <t>Amazon: '24V 40mm fan'</t>
  </si>
  <si>
    <t>MeanWell LRS-350-24 PSU</t>
  </si>
  <si>
    <t>amazon.com/dp/B07SQLJG5L — $28.77</t>
  </si>
  <si>
    <t>REJECTED: NVVV clone at $23.59 — same model number, not MeanWell</t>
  </si>
  <si>
    <t>Brand field must say MEAN WELL</t>
  </si>
  <si>
    <t>IEC inlet — REMOVED, salvage PC cord</t>
  </si>
  <si>
    <t>n/a</t>
  </si>
  <si>
    <t>cut for cost</t>
  </si>
  <si>
    <t>Third lever: use a salvaged PC power cord instead of buying new</t>
  </si>
  <si>
    <t>Team decision, this session</t>
  </si>
  <si>
    <t>Limit switches (10-pk) + E-stop (2NC, 2-pk) + hookup wire</t>
  </si>
  <si>
    <t>amazon.com/dp/B07X142VGC $5.99 + amazon.com/dp/B07R8PTTDX $11.99 + wire ~$8</t>
  </si>
  <si>
    <t>3 limit switches used (no dual-Y homing with A-axis cloned to Y; square gantry mechanically instead), rest spare</t>
  </si>
  <si>
    <t>Belt topology: 3 axes, no dual-Y homing</t>
  </si>
  <si>
    <t>E-stop contactor — kills PSU and spindle mains together</t>
  </si>
  <si>
    <t>Amazon: 'DPST contactor 24V coil' or relay module rated for router load</t>
  </si>
  <si>
    <t>est. (review), NOT cut at any price</t>
  </si>
  <si>
    <t>Without this, E-stop halts GRBL motion but the Makita keeps spinning on wall power — this is the one safety gap that does not get value-engineered away</t>
  </si>
  <si>
    <t>Safety requirement, not a scope item</t>
  </si>
  <si>
    <t>Electronics enclosure — 3D printed + gasket, positive-pressure filtered fan</t>
  </si>
  <si>
    <t>club filament + Amazon 'foam gasket seal' + small filtered fan</t>
  </si>
  <si>
    <t>IP65 box $18 if printed fails</t>
  </si>
  <si>
    <t>Printed positive-pressure box instead of sealed IP65 — cheaper and solves the DRV8825 airflow problem from the sealed-box design at the same time</t>
  </si>
  <si>
    <t>Third lever + airflow fix, this session</t>
  </si>
  <si>
    <t>Drag chain x1 (frame-&gt;gantry) + wire loom for gantry-&gt;carriage run</t>
  </si>
  <si>
    <t>Amazon: 'drag chain 10x20 1m' + wire loom</t>
  </si>
  <si>
    <t>1 chain + loom</t>
  </si>
  <si>
    <t>Second axis carries lighter cable load; loom is adequate short-term, add second chain later if wear becomes an issue</t>
  </si>
  <si>
    <t>Third lever, this session</t>
  </si>
  <si>
    <t>Motor cable extensions — REMOVED, solder from stock wire</t>
  </si>
  <si>
    <t>Use hookup wire already in the fastener lot instead of buying pre-made extensions</t>
  </si>
  <si>
    <t>SPINDLE &amp; TOOLING</t>
  </si>
  <si>
    <t>Makita RT0701CR — Amazon RENEWED</t>
  </si>
  <si>
    <t>amazon.com/dp/B01HG3Z6PC — $109.99</t>
  </si>
  <si>
    <t>new RT0701C $159 if renewed unavailable</t>
  </si>
  <si>
    <t>Locked configuration: renewed only</t>
  </si>
  <si>
    <t>Spindle mount — 3D printed PETG</t>
  </si>
  <si>
    <t>club filament</t>
  </si>
  <si>
    <t>$12 Amazon 65mm aluminum mount</t>
  </si>
  <si>
    <t>VERIFIED</t>
  </si>
  <si>
    <t>Retighten clamp bolts periodically</t>
  </si>
  <si>
    <t>Collet reducer 1/4 -&gt; 1/8 in</t>
  </si>
  <si>
    <t>Amazon: '1/4 to 1/8 collet reducer router'</t>
  </si>
  <si>
    <t>Elaire precision (pricier)</t>
  </si>
  <si>
    <t>Burrs are 1/8 shank</t>
  </si>
  <si>
    <t>Carbide end mills for composites, 1/8 in</t>
  </si>
  <si>
    <t>Amazon: '1/8 carbide end mill fiberglass carbon fiber corn cob' — or eBay Drillman1</t>
  </si>
  <si>
    <t>REJECTED: Rannb diamond-dust grinding burrs — engraving tool, cannot cut sheet</t>
  </si>
  <si>
    <t>1 pk</t>
  </si>
  <si>
    <t>Carbide with crosshatch flutes, not diamond-dust coating</t>
  </si>
  <si>
    <t>WORKHOLDING &amp; DUST</t>
  </si>
  <si>
    <t>MDF 3/4in spoilboard + washer-head screws</t>
  </si>
  <si>
    <t>Home Depot local (project panel)</t>
  </si>
  <si>
    <t>club scrap if any</t>
  </si>
  <si>
    <t>Required — machine surfaces its own spoilboard</t>
  </si>
  <si>
    <t>Dust shoe brush strip, ducted to router intake</t>
  </si>
  <si>
    <t>Amazon: 'brush seal strip 50mm'</t>
  </si>
  <si>
    <t>RT0701C draws cooling air through an open motor — CF dust ingestion kills the spindle. Ducted clean air, not a filter, avoids restricting airflow.</t>
  </si>
  <si>
    <t>Pending Sean — makerspace vacuum</t>
  </si>
  <si>
    <t>Standalone HEPA shop vac if not available</t>
  </si>
  <si>
    <t>PENDING SEAN</t>
  </si>
  <si>
    <t>Standard shop vac filters pass CF fines through — needs HEPA-rated or cyclone ahead of one</t>
  </si>
  <si>
    <t>Confirm with Sean before ordering</t>
  </si>
  <si>
    <t>Contingency 10% (folded into total)</t>
  </si>
  <si>
    <t>TOTAL</t>
  </si>
  <si>
    <t>GREY rows and PENDING SEAN items: confirm before ordering. Nothing gets ordered before the plate CAD locks the fastener count.</t>
  </si>
  <si>
    <t>PPE and spoilboard surfacing bit removed assumed to be already on hand.</t>
  </si>
  <si>
    <t xml:space="preserve">WHAT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</si>
</sst>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F5E5A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i/>
      <sz val="9"/>
      <name val="Arial"/>
      <charset val="1"/>
    </font>
    <font>
      <sz val="11"/>
      <color rgb="FF008000"/>
      <name val="Arial"/>
      <charset val="1"/>
    </font>
    <font>
      <sz val="11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3D1C7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6" fillId="0" borderId="0" xfId="0" applyFont="1"/>
    <xf numFmtId="0" fontId="7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opLeftCell="A21" zoomScaleNormal="100" workbookViewId="0">
      <selection activeCell="A5" sqref="A5"/>
    </sheetView>
  </sheetViews>
  <sheetFormatPr defaultColWidth="8.6640625" defaultRowHeight="14.4" x14ac:dyDescent="0.3"/>
  <cols>
    <col min="1" max="1" width="62" customWidth="1"/>
    <col min="2" max="2" width="14" customWidth="1"/>
  </cols>
  <sheetData>
    <row r="1" spans="1:1" ht="15.75" customHeight="1" x14ac:dyDescent="0.3">
      <c r="A1" s="1" t="s">
        <v>0</v>
      </c>
    </row>
    <row r="2" spans="1:1" ht="15" customHeight="1" x14ac:dyDescent="0.3">
      <c r="A2" s="2" t="s">
        <v>1</v>
      </c>
    </row>
    <row r="4" spans="1:1" ht="15" customHeight="1" x14ac:dyDescent="0.3">
      <c r="A4" s="3" t="s">
        <v>2</v>
      </c>
    </row>
    <row r="5" spans="1:1" ht="15" customHeight="1" x14ac:dyDescent="0.3">
      <c r="A5" t="s">
        <v>3</v>
      </c>
    </row>
    <row r="6" spans="1:1" ht="15" customHeight="1" x14ac:dyDescent="0.3">
      <c r="A6" t="s">
        <v>4</v>
      </c>
    </row>
    <row r="8" spans="1:1" ht="15" customHeight="1" x14ac:dyDescent="0.3">
      <c r="A8" s="3" t="s">
        <v>219</v>
      </c>
    </row>
    <row r="9" spans="1:1" ht="15" customHeight="1" x14ac:dyDescent="0.3">
      <c r="A9" t="s">
        <v>5</v>
      </c>
    </row>
    <row r="10" spans="1:1" ht="15" customHeight="1" x14ac:dyDescent="0.3">
      <c r="A10" t="s">
        <v>6</v>
      </c>
    </row>
    <row r="11" spans="1:1" ht="15" customHeight="1" x14ac:dyDescent="0.3">
      <c r="A11" t="s">
        <v>7</v>
      </c>
    </row>
    <row r="12" spans="1:1" ht="15" customHeight="1" x14ac:dyDescent="0.3">
      <c r="A12" t="s">
        <v>218</v>
      </c>
    </row>
    <row r="13" spans="1:1" ht="15" customHeight="1" x14ac:dyDescent="0.3"/>
    <row r="14" spans="1:1" ht="15" customHeight="1" x14ac:dyDescent="0.3"/>
    <row r="15" spans="1:1" ht="15" customHeight="1" x14ac:dyDescent="0.3"/>
    <row r="17" spans="1:2" ht="15" customHeight="1" x14ac:dyDescent="0.3">
      <c r="A17" s="3" t="s">
        <v>9</v>
      </c>
    </row>
    <row r="18" spans="1:2" ht="15" customHeight="1" x14ac:dyDescent="0.3">
      <c r="A18" t="s">
        <v>10</v>
      </c>
      <c r="B18" s="4">
        <f>SUM(BOM!G6:G9)</f>
        <v>130.97999999999999</v>
      </c>
    </row>
    <row r="19" spans="1:2" ht="15" customHeight="1" x14ac:dyDescent="0.3">
      <c r="A19" t="s">
        <v>11</v>
      </c>
      <c r="B19" s="4">
        <f>SUM(BOM!G11:G17)</f>
        <v>80.94</v>
      </c>
    </row>
    <row r="20" spans="1:2" ht="15" customHeight="1" x14ac:dyDescent="0.3">
      <c r="A20" t="s">
        <v>12</v>
      </c>
      <c r="B20" s="4">
        <f>SUM(BOM!G19:G23)</f>
        <v>71.990000000000009</v>
      </c>
    </row>
    <row r="21" spans="1:2" ht="15" customHeight="1" x14ac:dyDescent="0.3">
      <c r="A21" t="s">
        <v>13</v>
      </c>
      <c r="B21" s="4">
        <f>SUM(BOM!G25:G34)</f>
        <v>185.5</v>
      </c>
    </row>
    <row r="22" spans="1:2" ht="15" customHeight="1" x14ac:dyDescent="0.3">
      <c r="A22" t="s">
        <v>14</v>
      </c>
      <c r="B22" s="4">
        <f>SUM(BOM!G36:G39)</f>
        <v>139.99</v>
      </c>
    </row>
    <row r="23" spans="1:2" ht="15" customHeight="1" x14ac:dyDescent="0.3">
      <c r="A23" t="s">
        <v>15</v>
      </c>
      <c r="B23" s="4">
        <f>SUM(BOM!G41:G43)</f>
        <v>38</v>
      </c>
    </row>
    <row r="24" spans="1:2" ht="15" customHeight="1" x14ac:dyDescent="0.3">
      <c r="A24" t="s">
        <v>16</v>
      </c>
      <c r="B24" s="4">
        <f>BOM!G45</f>
        <v>647.4</v>
      </c>
    </row>
    <row r="25" spans="1:2" ht="15" customHeight="1" x14ac:dyDescent="0.3">
      <c r="A25" t="s">
        <v>17</v>
      </c>
      <c r="B25" s="4">
        <f>BOM!G46</f>
        <v>30</v>
      </c>
    </row>
    <row r="26" spans="1:2" ht="15" customHeight="1" x14ac:dyDescent="0.3">
      <c r="A26" t="s">
        <v>18</v>
      </c>
      <c r="B26" s="4">
        <f>BOM!G47</f>
        <v>64.739999999999995</v>
      </c>
    </row>
    <row r="28" spans="1:2" ht="15" customHeight="1" x14ac:dyDescent="0.3">
      <c r="A28" t="s">
        <v>19</v>
      </c>
      <c r="B28" s="4">
        <f>BOM!G48</f>
        <v>742.14</v>
      </c>
    </row>
    <row r="29" spans="1:2" ht="15" customHeight="1" x14ac:dyDescent="0.3">
      <c r="A29" t="s">
        <v>20</v>
      </c>
      <c r="B29" s="4">
        <f>B24+B25</f>
        <v>677.4</v>
      </c>
    </row>
    <row r="30" spans="1:2" ht="15" customHeight="1" x14ac:dyDescent="0.3">
      <c r="A30" s="3"/>
    </row>
    <row r="31" spans="1:2" ht="15" customHeight="1" x14ac:dyDescent="0.3">
      <c r="A31" t="s">
        <v>21</v>
      </c>
    </row>
    <row r="32" spans="1:2" ht="15" customHeight="1" x14ac:dyDescent="0.3">
      <c r="A32" t="s">
        <v>8</v>
      </c>
    </row>
    <row r="33" spans="1:1" ht="15" customHeight="1" x14ac:dyDescent="0.3">
      <c r="A33" t="s">
        <v>22</v>
      </c>
    </row>
    <row r="34" spans="1:1" ht="15" customHeight="1" x14ac:dyDescent="0.3">
      <c r="A34" s="2" t="s">
        <v>23</v>
      </c>
    </row>
    <row r="35" spans="1:1" x14ac:dyDescent="0.3">
      <c r="A35" t="s">
        <v>24</v>
      </c>
    </row>
    <row r="36" spans="1:1" ht="15" customHeight="1" x14ac:dyDescent="0.3">
      <c r="A36" t="s">
        <v>25</v>
      </c>
    </row>
    <row r="38" spans="1:1" x14ac:dyDescent="0.3">
      <c r="A38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tabSelected="1" topLeftCell="A26" zoomScaleNormal="100" workbookViewId="0">
      <selection activeCell="J6" sqref="J6"/>
    </sheetView>
  </sheetViews>
  <sheetFormatPr defaultColWidth="8.6640625" defaultRowHeight="14.4" x14ac:dyDescent="0.3"/>
  <cols>
    <col min="1" max="1" width="4" customWidth="1"/>
    <col min="2" max="2" width="34" customWidth="1"/>
    <col min="3" max="3" width="38" customWidth="1"/>
    <col min="4" max="4" width="30" customWidth="1"/>
    <col min="5" max="5" width="12" customWidth="1"/>
    <col min="6" max="6" width="14" customWidth="1"/>
    <col min="7" max="7" width="12" customWidth="1"/>
    <col min="8" max="8" width="14" customWidth="1"/>
    <col min="9" max="9" width="40" customWidth="1"/>
    <col min="10" max="10" width="30" customWidth="1"/>
  </cols>
  <sheetData>
    <row r="1" spans="1:10" ht="15" customHeight="1" x14ac:dyDescent="0.3">
      <c r="A1" s="5" t="s">
        <v>27</v>
      </c>
    </row>
    <row r="2" spans="1:10" ht="15" customHeight="1" x14ac:dyDescent="0.3">
      <c r="A2" s="6" t="s">
        <v>28</v>
      </c>
    </row>
    <row r="4" spans="1:10" ht="15" customHeight="1" x14ac:dyDescent="0.3">
      <c r="A4" s="7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</row>
    <row r="5" spans="1:10" ht="15" customHeight="1" x14ac:dyDescent="0.3">
      <c r="A5" s="7" t="s">
        <v>39</v>
      </c>
    </row>
    <row r="6" spans="1:10" ht="15" customHeight="1" x14ac:dyDescent="0.3">
      <c r="A6">
        <v>1</v>
      </c>
      <c r="B6" s="8" t="s">
        <v>40</v>
      </c>
      <c r="C6" t="s">
        <v>41</v>
      </c>
      <c r="D6" t="s">
        <v>42</v>
      </c>
      <c r="E6" s="4">
        <v>95.99</v>
      </c>
      <c r="F6" t="s">
        <v>43</v>
      </c>
      <c r="G6" s="4">
        <f>E6</f>
        <v>95.99</v>
      </c>
      <c r="H6" t="s">
        <v>44</v>
      </c>
      <c r="I6" t="s">
        <v>45</v>
      </c>
      <c r="J6" t="s">
        <v>46</v>
      </c>
    </row>
    <row r="7" spans="1:10" ht="15" customHeight="1" x14ac:dyDescent="0.3">
      <c r="A7">
        <v>2</v>
      </c>
      <c r="B7" s="8" t="s">
        <v>47</v>
      </c>
      <c r="C7" t="s">
        <v>48</v>
      </c>
      <c r="D7" t="s">
        <v>49</v>
      </c>
      <c r="E7" s="4">
        <v>14.99</v>
      </c>
      <c r="F7" t="s">
        <v>50</v>
      </c>
      <c r="G7" s="4">
        <f>E7</f>
        <v>14.99</v>
      </c>
      <c r="H7" t="s">
        <v>51</v>
      </c>
      <c r="I7" t="s">
        <v>52</v>
      </c>
      <c r="J7" t="s">
        <v>53</v>
      </c>
    </row>
    <row r="8" spans="1:10" ht="15" customHeight="1" x14ac:dyDescent="0.3">
      <c r="A8">
        <v>3</v>
      </c>
      <c r="B8" s="9" t="s">
        <v>54</v>
      </c>
      <c r="C8" t="s">
        <v>55</v>
      </c>
      <c r="D8" t="s">
        <v>56</v>
      </c>
      <c r="E8" s="4">
        <v>20</v>
      </c>
      <c r="F8" t="s">
        <v>57</v>
      </c>
      <c r="G8" s="4">
        <f>E8</f>
        <v>20</v>
      </c>
      <c r="H8" t="s">
        <v>58</v>
      </c>
      <c r="I8" t="s">
        <v>59</v>
      </c>
      <c r="J8" t="s">
        <v>60</v>
      </c>
    </row>
    <row r="9" spans="1:10" ht="15" customHeight="1" x14ac:dyDescent="0.3">
      <c r="A9">
        <v>4</v>
      </c>
      <c r="B9" s="9" t="s">
        <v>61</v>
      </c>
      <c r="C9" t="s">
        <v>62</v>
      </c>
      <c r="D9" t="s">
        <v>63</v>
      </c>
      <c r="E9" s="4">
        <v>0</v>
      </c>
      <c r="F9" t="s">
        <v>64</v>
      </c>
      <c r="G9" s="4">
        <f>E9</f>
        <v>0</v>
      </c>
      <c r="H9" t="s">
        <v>65</v>
      </c>
      <c r="I9" t="s">
        <v>66</v>
      </c>
      <c r="J9" t="s">
        <v>67</v>
      </c>
    </row>
    <row r="10" spans="1:10" ht="15" customHeight="1" x14ac:dyDescent="0.3">
      <c r="A10" s="7" t="s">
        <v>68</v>
      </c>
    </row>
    <row r="11" spans="1:10" ht="15" customHeight="1" x14ac:dyDescent="0.3">
      <c r="A11">
        <v>5</v>
      </c>
      <c r="B11" s="8" t="s">
        <v>69</v>
      </c>
      <c r="C11" t="s">
        <v>70</v>
      </c>
      <c r="D11" t="s">
        <v>71</v>
      </c>
      <c r="E11" s="4">
        <v>19.98</v>
      </c>
      <c r="F11" t="s">
        <v>72</v>
      </c>
      <c r="G11" s="4">
        <f t="shared" ref="G11:G17" si="0">E11</f>
        <v>19.98</v>
      </c>
      <c r="H11" t="s">
        <v>73</v>
      </c>
      <c r="I11" t="s">
        <v>74</v>
      </c>
      <c r="J11" t="s">
        <v>75</v>
      </c>
    </row>
    <row r="12" spans="1:10" ht="15" customHeight="1" x14ac:dyDescent="0.3">
      <c r="A12">
        <v>6</v>
      </c>
      <c r="B12" s="8" t="s">
        <v>76</v>
      </c>
      <c r="C12" t="s">
        <v>77</v>
      </c>
      <c r="D12" t="s">
        <v>78</v>
      </c>
      <c r="E12" s="4">
        <v>11</v>
      </c>
      <c r="F12" t="s">
        <v>79</v>
      </c>
      <c r="G12" s="4">
        <f t="shared" si="0"/>
        <v>11</v>
      </c>
      <c r="H12" t="s">
        <v>58</v>
      </c>
      <c r="I12" t="s">
        <v>80</v>
      </c>
      <c r="J12" t="s">
        <v>81</v>
      </c>
    </row>
    <row r="13" spans="1:10" ht="15" customHeight="1" x14ac:dyDescent="0.3">
      <c r="A13">
        <v>7</v>
      </c>
      <c r="B13" s="8" t="s">
        <v>82</v>
      </c>
      <c r="C13" t="s">
        <v>83</v>
      </c>
      <c r="D13" t="s">
        <v>84</v>
      </c>
      <c r="E13" s="4">
        <v>5</v>
      </c>
      <c r="F13" t="s">
        <v>79</v>
      </c>
      <c r="G13" s="4">
        <f t="shared" si="0"/>
        <v>5</v>
      </c>
      <c r="H13" t="s">
        <v>58</v>
      </c>
      <c r="I13" t="s">
        <v>85</v>
      </c>
      <c r="J13" t="s">
        <v>81</v>
      </c>
    </row>
    <row r="14" spans="1:10" ht="15" customHeight="1" x14ac:dyDescent="0.3">
      <c r="A14">
        <v>8</v>
      </c>
      <c r="B14" s="8" t="s">
        <v>86</v>
      </c>
      <c r="C14" t="s">
        <v>87</v>
      </c>
      <c r="D14" t="s">
        <v>88</v>
      </c>
      <c r="E14" s="4">
        <v>16.989999999999998</v>
      </c>
      <c r="F14" t="s">
        <v>89</v>
      </c>
      <c r="G14" s="4">
        <f t="shared" si="0"/>
        <v>16.989999999999998</v>
      </c>
      <c r="H14" t="s">
        <v>51</v>
      </c>
      <c r="I14" t="s">
        <v>90</v>
      </c>
      <c r="J14" t="s">
        <v>91</v>
      </c>
    </row>
    <row r="15" spans="1:10" ht="15" customHeight="1" x14ac:dyDescent="0.3">
      <c r="A15">
        <v>9</v>
      </c>
      <c r="B15" s="8" t="s">
        <v>92</v>
      </c>
      <c r="C15" t="s">
        <v>93</v>
      </c>
      <c r="D15" t="s">
        <v>94</v>
      </c>
      <c r="E15" s="4">
        <v>7.99</v>
      </c>
      <c r="F15" t="s">
        <v>95</v>
      </c>
      <c r="G15" s="4">
        <f t="shared" si="0"/>
        <v>7.99</v>
      </c>
      <c r="H15" t="s">
        <v>96</v>
      </c>
      <c r="I15" t="s">
        <v>97</v>
      </c>
      <c r="J15" t="s">
        <v>98</v>
      </c>
    </row>
    <row r="16" spans="1:10" ht="15" customHeight="1" x14ac:dyDescent="0.3">
      <c r="A16">
        <v>10</v>
      </c>
      <c r="B16" s="8" t="s">
        <v>99</v>
      </c>
      <c r="C16" t="s">
        <v>100</v>
      </c>
      <c r="D16" t="s">
        <v>94</v>
      </c>
      <c r="E16" s="4">
        <v>19.98</v>
      </c>
      <c r="F16" t="s">
        <v>101</v>
      </c>
      <c r="G16" s="4">
        <f t="shared" si="0"/>
        <v>19.98</v>
      </c>
      <c r="H16" t="s">
        <v>96</v>
      </c>
      <c r="I16" t="s">
        <v>102</v>
      </c>
      <c r="J16" t="s">
        <v>103</v>
      </c>
    </row>
    <row r="17" spans="1:10" ht="15" customHeight="1" x14ac:dyDescent="0.3">
      <c r="A17" t="s">
        <v>104</v>
      </c>
      <c r="B17" t="s">
        <v>105</v>
      </c>
      <c r="C17" t="s">
        <v>106</v>
      </c>
      <c r="D17" t="s">
        <v>107</v>
      </c>
      <c r="E17">
        <v>0</v>
      </c>
      <c r="F17" t="s">
        <v>79</v>
      </c>
      <c r="G17">
        <f t="shared" si="0"/>
        <v>0</v>
      </c>
      <c r="H17" t="s">
        <v>108</v>
      </c>
      <c r="I17" t="s">
        <v>109</v>
      </c>
      <c r="J17" t="s">
        <v>110</v>
      </c>
    </row>
    <row r="18" spans="1:10" ht="15" customHeight="1" x14ac:dyDescent="0.3">
      <c r="A18" s="7" t="s">
        <v>111</v>
      </c>
    </row>
    <row r="19" spans="1:10" ht="15" customHeight="1" x14ac:dyDescent="0.3">
      <c r="A19">
        <v>11</v>
      </c>
      <c r="B19" s="9" t="s">
        <v>112</v>
      </c>
      <c r="C19" t="s">
        <v>113</v>
      </c>
      <c r="D19" t="s">
        <v>114</v>
      </c>
      <c r="E19" s="4">
        <v>8.99</v>
      </c>
      <c r="F19" t="s">
        <v>115</v>
      </c>
      <c r="G19" s="4">
        <f>E19</f>
        <v>8.99</v>
      </c>
      <c r="H19" t="s">
        <v>116</v>
      </c>
      <c r="I19" t="s">
        <v>117</v>
      </c>
      <c r="J19" t="s">
        <v>118</v>
      </c>
    </row>
    <row r="20" spans="1:10" ht="15" customHeight="1" x14ac:dyDescent="0.3">
      <c r="A20">
        <v>12</v>
      </c>
      <c r="B20" s="8" t="s">
        <v>119</v>
      </c>
      <c r="C20" t="s">
        <v>120</v>
      </c>
      <c r="D20" t="s">
        <v>121</v>
      </c>
      <c r="E20" s="4">
        <v>7</v>
      </c>
      <c r="F20" t="s">
        <v>115</v>
      </c>
      <c r="G20" s="4">
        <f>E20</f>
        <v>7</v>
      </c>
      <c r="H20" t="s">
        <v>58</v>
      </c>
      <c r="I20" t="s">
        <v>52</v>
      </c>
      <c r="J20" t="s">
        <v>53</v>
      </c>
    </row>
    <row r="21" spans="1:10" ht="15" customHeight="1" x14ac:dyDescent="0.3">
      <c r="A21">
        <v>13</v>
      </c>
      <c r="B21" s="8" t="s">
        <v>122</v>
      </c>
      <c r="C21" t="s">
        <v>123</v>
      </c>
      <c r="D21" t="s">
        <v>94</v>
      </c>
      <c r="E21" s="4">
        <v>2</v>
      </c>
      <c r="F21" t="s">
        <v>115</v>
      </c>
      <c r="G21" s="4">
        <f>E21</f>
        <v>2</v>
      </c>
      <c r="H21" t="s">
        <v>58</v>
      </c>
      <c r="I21" t="s">
        <v>124</v>
      </c>
      <c r="J21" t="s">
        <v>125</v>
      </c>
    </row>
    <row r="22" spans="1:10" ht="15" customHeight="1" x14ac:dyDescent="0.3">
      <c r="A22" t="s">
        <v>126</v>
      </c>
      <c r="B22" t="s">
        <v>127</v>
      </c>
      <c r="C22" t="s">
        <v>128</v>
      </c>
      <c r="D22" t="s">
        <v>129</v>
      </c>
      <c r="E22">
        <v>0</v>
      </c>
      <c r="F22" t="s">
        <v>129</v>
      </c>
      <c r="H22" t="s">
        <v>130</v>
      </c>
      <c r="I22" t="s">
        <v>131</v>
      </c>
      <c r="J22" t="s">
        <v>132</v>
      </c>
    </row>
    <row r="23" spans="1:10" ht="15" customHeight="1" x14ac:dyDescent="0.3">
      <c r="A23">
        <v>14</v>
      </c>
      <c r="B23" s="9" t="s">
        <v>133</v>
      </c>
      <c r="C23" t="s">
        <v>134</v>
      </c>
      <c r="D23" t="s">
        <v>94</v>
      </c>
      <c r="E23" s="4">
        <v>27</v>
      </c>
      <c r="F23" t="s">
        <v>135</v>
      </c>
      <c r="G23" s="4">
        <f>E23*2</f>
        <v>54</v>
      </c>
      <c r="H23" t="s">
        <v>136</v>
      </c>
      <c r="I23" t="s">
        <v>137</v>
      </c>
      <c r="J23" t="s">
        <v>138</v>
      </c>
    </row>
    <row r="24" spans="1:10" ht="15" customHeight="1" x14ac:dyDescent="0.3">
      <c r="A24" s="7" t="s">
        <v>139</v>
      </c>
    </row>
    <row r="25" spans="1:10" ht="15" customHeight="1" x14ac:dyDescent="0.3">
      <c r="A25">
        <v>15</v>
      </c>
      <c r="B25" s="8" t="s">
        <v>140</v>
      </c>
      <c r="C25" t="s">
        <v>141</v>
      </c>
      <c r="D25" t="s">
        <v>142</v>
      </c>
      <c r="E25" s="4">
        <v>39.770000000000003</v>
      </c>
      <c r="F25" t="s">
        <v>143</v>
      </c>
      <c r="G25" s="4">
        <f t="shared" ref="G25:G34" si="1">E25</f>
        <v>39.770000000000003</v>
      </c>
      <c r="H25" t="s">
        <v>144</v>
      </c>
      <c r="I25" t="s">
        <v>145</v>
      </c>
      <c r="J25" t="s">
        <v>146</v>
      </c>
    </row>
    <row r="26" spans="1:10" ht="15" customHeight="1" x14ac:dyDescent="0.3">
      <c r="A26">
        <v>16</v>
      </c>
      <c r="B26" s="8" t="s">
        <v>147</v>
      </c>
      <c r="C26" t="s">
        <v>148</v>
      </c>
      <c r="D26" t="s">
        <v>149</v>
      </c>
      <c r="E26" s="4">
        <v>19.98</v>
      </c>
      <c r="F26" t="s">
        <v>115</v>
      </c>
      <c r="G26" s="4">
        <f t="shared" si="1"/>
        <v>19.98</v>
      </c>
      <c r="H26" t="s">
        <v>51</v>
      </c>
      <c r="I26" t="s">
        <v>150</v>
      </c>
      <c r="J26" t="s">
        <v>53</v>
      </c>
    </row>
    <row r="27" spans="1:10" ht="15" customHeight="1" x14ac:dyDescent="0.3">
      <c r="A27">
        <v>17</v>
      </c>
      <c r="B27" s="8" t="s">
        <v>151</v>
      </c>
      <c r="C27" t="s">
        <v>152</v>
      </c>
      <c r="D27" t="s">
        <v>94</v>
      </c>
      <c r="E27" s="4">
        <v>29</v>
      </c>
      <c r="F27" t="s">
        <v>115</v>
      </c>
      <c r="G27" s="4">
        <f t="shared" si="1"/>
        <v>29</v>
      </c>
      <c r="H27" t="s">
        <v>58</v>
      </c>
      <c r="I27" t="s">
        <v>52</v>
      </c>
      <c r="J27" t="s">
        <v>53</v>
      </c>
    </row>
    <row r="28" spans="1:10" ht="15" customHeight="1" x14ac:dyDescent="0.3">
      <c r="A28">
        <v>18</v>
      </c>
      <c r="B28" s="8" t="s">
        <v>153</v>
      </c>
      <c r="C28" t="s">
        <v>154</v>
      </c>
      <c r="D28" t="s">
        <v>155</v>
      </c>
      <c r="E28" s="4">
        <v>28.77</v>
      </c>
      <c r="F28" t="s">
        <v>115</v>
      </c>
      <c r="G28" s="4">
        <f t="shared" si="1"/>
        <v>28.77</v>
      </c>
      <c r="H28" t="s">
        <v>51</v>
      </c>
      <c r="I28" t="s">
        <v>156</v>
      </c>
      <c r="J28" t="s">
        <v>53</v>
      </c>
    </row>
    <row r="29" spans="1:10" ht="15" customHeight="1" x14ac:dyDescent="0.3">
      <c r="A29">
        <v>19</v>
      </c>
      <c r="B29" s="9" t="s">
        <v>157</v>
      </c>
      <c r="C29" t="s">
        <v>158</v>
      </c>
      <c r="D29" t="s">
        <v>158</v>
      </c>
      <c r="E29" s="4">
        <v>0</v>
      </c>
      <c r="F29" t="s">
        <v>115</v>
      </c>
      <c r="G29" s="4">
        <f t="shared" si="1"/>
        <v>0</v>
      </c>
      <c r="H29" t="s">
        <v>159</v>
      </c>
      <c r="I29" t="s">
        <v>160</v>
      </c>
      <c r="J29" t="s">
        <v>161</v>
      </c>
    </row>
    <row r="30" spans="1:10" ht="15" customHeight="1" x14ac:dyDescent="0.3">
      <c r="A30">
        <v>20</v>
      </c>
      <c r="B30" s="8" t="s">
        <v>162</v>
      </c>
      <c r="C30" t="s">
        <v>163</v>
      </c>
      <c r="D30" t="s">
        <v>94</v>
      </c>
      <c r="E30" s="4">
        <v>25.98</v>
      </c>
      <c r="F30" t="s">
        <v>57</v>
      </c>
      <c r="G30" s="4">
        <f t="shared" si="1"/>
        <v>25.98</v>
      </c>
      <c r="H30" t="s">
        <v>51</v>
      </c>
      <c r="I30" t="s">
        <v>164</v>
      </c>
      <c r="J30" t="s">
        <v>165</v>
      </c>
    </row>
    <row r="31" spans="1:10" ht="15" customHeight="1" x14ac:dyDescent="0.3">
      <c r="A31">
        <v>21</v>
      </c>
      <c r="B31" s="9" t="s">
        <v>166</v>
      </c>
      <c r="C31" t="s">
        <v>167</v>
      </c>
      <c r="D31" t="s">
        <v>94</v>
      </c>
      <c r="E31" s="4">
        <v>18</v>
      </c>
      <c r="F31" t="s">
        <v>115</v>
      </c>
      <c r="G31" s="4">
        <f t="shared" si="1"/>
        <v>18</v>
      </c>
      <c r="H31" t="s">
        <v>168</v>
      </c>
      <c r="I31" t="s">
        <v>169</v>
      </c>
      <c r="J31" t="s">
        <v>170</v>
      </c>
    </row>
    <row r="32" spans="1:10" ht="15" customHeight="1" x14ac:dyDescent="0.3">
      <c r="A32">
        <v>22</v>
      </c>
      <c r="B32" s="9" t="s">
        <v>171</v>
      </c>
      <c r="C32" t="s">
        <v>172</v>
      </c>
      <c r="D32" t="s">
        <v>173</v>
      </c>
      <c r="E32" s="4">
        <v>6</v>
      </c>
      <c r="F32" t="s">
        <v>115</v>
      </c>
      <c r="G32" s="4">
        <f t="shared" si="1"/>
        <v>6</v>
      </c>
      <c r="H32" t="s">
        <v>159</v>
      </c>
      <c r="I32" t="s">
        <v>174</v>
      </c>
      <c r="J32" t="s">
        <v>175</v>
      </c>
    </row>
    <row r="33" spans="1:10" ht="15" customHeight="1" x14ac:dyDescent="0.3">
      <c r="A33">
        <v>23</v>
      </c>
      <c r="B33" s="9" t="s">
        <v>176</v>
      </c>
      <c r="C33" t="s">
        <v>177</v>
      </c>
      <c r="D33" t="s">
        <v>94</v>
      </c>
      <c r="E33" s="4">
        <v>18</v>
      </c>
      <c r="F33" t="s">
        <v>178</v>
      </c>
      <c r="G33" s="4">
        <f t="shared" si="1"/>
        <v>18</v>
      </c>
      <c r="H33" t="s">
        <v>159</v>
      </c>
      <c r="I33" t="s">
        <v>179</v>
      </c>
      <c r="J33" t="s">
        <v>180</v>
      </c>
    </row>
    <row r="34" spans="1:10" ht="15" customHeight="1" x14ac:dyDescent="0.3">
      <c r="A34">
        <v>24</v>
      </c>
      <c r="B34" s="9" t="s">
        <v>181</v>
      </c>
      <c r="C34" t="s">
        <v>158</v>
      </c>
      <c r="D34" t="s">
        <v>158</v>
      </c>
      <c r="E34" s="4">
        <v>0</v>
      </c>
      <c r="F34" t="s">
        <v>115</v>
      </c>
      <c r="G34" s="4">
        <f t="shared" si="1"/>
        <v>0</v>
      </c>
      <c r="H34" t="s">
        <v>159</v>
      </c>
      <c r="I34" t="s">
        <v>182</v>
      </c>
      <c r="J34" t="s">
        <v>180</v>
      </c>
    </row>
    <row r="35" spans="1:10" ht="15" customHeight="1" x14ac:dyDescent="0.3">
      <c r="A35" s="7" t="s">
        <v>183</v>
      </c>
    </row>
    <row r="36" spans="1:10" ht="15" customHeight="1" x14ac:dyDescent="0.3">
      <c r="A36">
        <v>25</v>
      </c>
      <c r="B36" s="8" t="s">
        <v>184</v>
      </c>
      <c r="C36" t="s">
        <v>185</v>
      </c>
      <c r="D36" t="s">
        <v>186</v>
      </c>
      <c r="E36" s="4">
        <v>109.99</v>
      </c>
      <c r="F36" t="s">
        <v>115</v>
      </c>
      <c r="G36" s="4">
        <f>E36</f>
        <v>109.99</v>
      </c>
      <c r="H36" t="s">
        <v>51</v>
      </c>
      <c r="I36" t="s">
        <v>187</v>
      </c>
      <c r="J36" t="s">
        <v>53</v>
      </c>
    </row>
    <row r="37" spans="1:10" ht="15" customHeight="1" x14ac:dyDescent="0.3">
      <c r="A37">
        <v>26</v>
      </c>
      <c r="B37" s="8" t="s">
        <v>188</v>
      </c>
      <c r="C37" t="s">
        <v>189</v>
      </c>
      <c r="D37" t="s">
        <v>190</v>
      </c>
      <c r="E37" s="4">
        <v>0</v>
      </c>
      <c r="F37" t="s">
        <v>115</v>
      </c>
      <c r="G37" s="4">
        <f>E37</f>
        <v>0</v>
      </c>
      <c r="H37" t="s">
        <v>191</v>
      </c>
      <c r="I37" t="s">
        <v>192</v>
      </c>
      <c r="J37" t="s">
        <v>53</v>
      </c>
    </row>
    <row r="38" spans="1:10" ht="15" customHeight="1" x14ac:dyDescent="0.3">
      <c r="A38">
        <v>27</v>
      </c>
      <c r="B38" s="8" t="s">
        <v>193</v>
      </c>
      <c r="C38" t="s">
        <v>194</v>
      </c>
      <c r="D38" t="s">
        <v>195</v>
      </c>
      <c r="E38" s="4">
        <v>8</v>
      </c>
      <c r="F38" t="s">
        <v>115</v>
      </c>
      <c r="G38" s="4">
        <f>E38</f>
        <v>8</v>
      </c>
      <c r="H38" t="s">
        <v>58</v>
      </c>
      <c r="I38" t="s">
        <v>196</v>
      </c>
      <c r="J38" t="s">
        <v>53</v>
      </c>
    </row>
    <row r="39" spans="1:10" ht="15" customHeight="1" x14ac:dyDescent="0.3">
      <c r="A39">
        <v>28</v>
      </c>
      <c r="B39" s="8" t="s">
        <v>197</v>
      </c>
      <c r="C39" t="s">
        <v>198</v>
      </c>
      <c r="D39" t="s">
        <v>199</v>
      </c>
      <c r="E39" s="4">
        <v>22</v>
      </c>
      <c r="F39" t="s">
        <v>200</v>
      </c>
      <c r="G39" s="4">
        <f>E39</f>
        <v>22</v>
      </c>
      <c r="H39" t="s">
        <v>58</v>
      </c>
      <c r="I39" t="s">
        <v>201</v>
      </c>
      <c r="J39" t="s">
        <v>53</v>
      </c>
    </row>
    <row r="40" spans="1:10" ht="15" customHeight="1" x14ac:dyDescent="0.3">
      <c r="A40" s="7" t="s">
        <v>202</v>
      </c>
    </row>
    <row r="41" spans="1:10" ht="15" customHeight="1" x14ac:dyDescent="0.3">
      <c r="A41">
        <v>29</v>
      </c>
      <c r="B41" s="8" t="s">
        <v>203</v>
      </c>
      <c r="C41" t="s">
        <v>204</v>
      </c>
      <c r="D41" t="s">
        <v>205</v>
      </c>
      <c r="E41" s="4">
        <v>20</v>
      </c>
      <c r="F41" t="s">
        <v>115</v>
      </c>
      <c r="G41" s="4">
        <f>E41</f>
        <v>20</v>
      </c>
      <c r="H41" t="s">
        <v>58</v>
      </c>
      <c r="I41" t="s">
        <v>206</v>
      </c>
      <c r="J41" t="s">
        <v>53</v>
      </c>
    </row>
    <row r="42" spans="1:10" ht="15" customHeight="1" x14ac:dyDescent="0.3">
      <c r="A42">
        <v>30</v>
      </c>
      <c r="B42" s="8" t="s">
        <v>207</v>
      </c>
      <c r="C42" t="s">
        <v>208</v>
      </c>
      <c r="D42" t="s">
        <v>94</v>
      </c>
      <c r="E42" s="4">
        <v>18</v>
      </c>
      <c r="F42" t="s">
        <v>115</v>
      </c>
      <c r="G42" s="4">
        <f>E42</f>
        <v>18</v>
      </c>
      <c r="H42" t="s">
        <v>58</v>
      </c>
      <c r="I42" t="s">
        <v>209</v>
      </c>
      <c r="J42" t="s">
        <v>53</v>
      </c>
    </row>
    <row r="43" spans="1:10" ht="15" customHeight="1" x14ac:dyDescent="0.3">
      <c r="A43">
        <v>31</v>
      </c>
      <c r="B43" s="9" t="s">
        <v>22</v>
      </c>
      <c r="C43" t="s">
        <v>210</v>
      </c>
      <c r="D43" t="s">
        <v>211</v>
      </c>
      <c r="E43" s="4">
        <v>0</v>
      </c>
      <c r="F43" t="s">
        <v>115</v>
      </c>
      <c r="G43" s="4">
        <f>E43</f>
        <v>0</v>
      </c>
      <c r="H43" t="s">
        <v>212</v>
      </c>
      <c r="I43" t="s">
        <v>213</v>
      </c>
      <c r="J43" t="s">
        <v>214</v>
      </c>
    </row>
    <row r="44" spans="1:10" ht="15" customHeight="1" x14ac:dyDescent="0.3"/>
    <row r="45" spans="1:10" ht="15" customHeight="1" x14ac:dyDescent="0.3">
      <c r="B45" s="3" t="s">
        <v>16</v>
      </c>
      <c r="G45" s="10">
        <f>SUM(G6:G43)</f>
        <v>647.4</v>
      </c>
    </row>
    <row r="46" spans="1:10" ht="15" customHeight="1" x14ac:dyDescent="0.3">
      <c r="B46" t="s">
        <v>17</v>
      </c>
      <c r="G46" s="4">
        <v>30</v>
      </c>
    </row>
    <row r="47" spans="1:10" ht="15" customHeight="1" x14ac:dyDescent="0.3">
      <c r="B47" t="s">
        <v>215</v>
      </c>
      <c r="G47" s="4">
        <f>G45*0.1</f>
        <v>64.739999999999995</v>
      </c>
    </row>
    <row r="48" spans="1:10" ht="15" customHeight="1" x14ac:dyDescent="0.3">
      <c r="B48" s="3" t="s">
        <v>216</v>
      </c>
      <c r="G48" s="10">
        <f>G45+G46+G47</f>
        <v>742.14</v>
      </c>
    </row>
    <row r="49" spans="2:2" ht="15" customHeight="1" x14ac:dyDescent="0.3"/>
    <row r="50" spans="2:2" ht="15" customHeight="1" x14ac:dyDescent="0.3">
      <c r="B50" t="s">
        <v>217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Essadak Rakah</cp:lastModifiedBy>
  <cp:revision>0</cp:revision>
  <dcterms:created xsi:type="dcterms:W3CDTF">2026-08-04T15:09:48Z</dcterms:created>
  <dcterms:modified xsi:type="dcterms:W3CDTF">2026-08-05T10:20:08Z</dcterms:modified>
  <dc:language>en-US</dc:language>
</cp:coreProperties>
</file>